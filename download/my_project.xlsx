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DFC198E9-A9E0-48F8-9D7C-85A6A80113B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ynamicProjectTracker" sheetId="1" r:id="rId1"/>
    <sheet name="Dynamic Chart" sheetId="3" r:id="rId2"/>
    <sheet name="OFFICE TASK TRACK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E3" i="2"/>
  <c r="C21" i="2" s="1"/>
  <c r="H20" i="1"/>
  <c r="I22" i="1"/>
  <c r="H22" i="1" s="1"/>
  <c r="I21" i="1"/>
  <c r="H21" i="1" s="1"/>
  <c r="I20" i="1"/>
  <c r="I19" i="1"/>
  <c r="H19" i="1" s="1"/>
  <c r="I18" i="1"/>
  <c r="H18" i="1" s="1"/>
  <c r="I17" i="1"/>
  <c r="H17" i="1" s="1"/>
  <c r="I16" i="1"/>
  <c r="H16" i="1" s="1"/>
  <c r="I15" i="1"/>
  <c r="H15" i="1" s="1"/>
  <c r="I14" i="1"/>
  <c r="H14" i="1" s="1"/>
  <c r="I13" i="1"/>
  <c r="H13" i="1" s="1"/>
  <c r="I12" i="1"/>
  <c r="H12" i="1" s="1"/>
  <c r="I11" i="1"/>
  <c r="H11" i="1" s="1"/>
  <c r="I10" i="1"/>
  <c r="H10" i="1" s="1"/>
  <c r="I9" i="1"/>
  <c r="H9" i="1" s="1"/>
  <c r="I8" i="1"/>
  <c r="H8" i="1" s="1"/>
  <c r="I7" i="1"/>
  <c r="H7" i="1" s="1"/>
  <c r="I6" i="1"/>
  <c r="H6" i="1" s="1"/>
  <c r="I5" i="1"/>
  <c r="H5" i="1"/>
  <c r="H4" i="1"/>
  <c r="G3" i="2" l="1"/>
  <c r="C22" i="2" s="1"/>
  <c r="I4" i="1"/>
  <c r="G4" i="3"/>
  <c r="F4" i="3"/>
  <c r="E4" i="3"/>
  <c r="D4" i="3"/>
  <c r="C4" i="3"/>
  <c r="H3" i="1"/>
  <c r="I3" i="1"/>
</calcChain>
</file>

<file path=xl/sharedStrings.xml><?xml version="1.0" encoding="utf-8"?>
<sst xmlns="http://schemas.openxmlformats.org/spreadsheetml/2006/main" count="73" uniqueCount="65">
  <si>
    <t>Project Tracker</t>
  </si>
  <si>
    <t>Activities</t>
  </si>
  <si>
    <t>Drafted</t>
  </si>
  <si>
    <t>Submitted</t>
  </si>
  <si>
    <t>Reviewed</t>
  </si>
  <si>
    <t>Approved</t>
  </si>
  <si>
    <t>To Do</t>
  </si>
  <si>
    <t>Done</t>
  </si>
  <si>
    <t>Planning</t>
  </si>
  <si>
    <t>Scheduling</t>
  </si>
  <si>
    <t>Budgeting</t>
  </si>
  <si>
    <t>Designing</t>
  </si>
  <si>
    <t>Developing</t>
  </si>
  <si>
    <t>Testing</t>
  </si>
  <si>
    <t>Executing</t>
  </si>
  <si>
    <t>Monitering</t>
  </si>
  <si>
    <t>Communicating</t>
  </si>
  <si>
    <t>Coordinating</t>
  </si>
  <si>
    <t>Reviewing</t>
  </si>
  <si>
    <t>Approving</t>
  </si>
  <si>
    <t>Reporting</t>
  </si>
  <si>
    <t>Documenting</t>
  </si>
  <si>
    <t>Evaluating</t>
  </si>
  <si>
    <t>Auditing</t>
  </si>
  <si>
    <t>Delivering</t>
  </si>
  <si>
    <t>Training</t>
  </si>
  <si>
    <t>Closing</t>
  </si>
  <si>
    <t>Archiving</t>
  </si>
  <si>
    <t>Approval</t>
  </si>
  <si>
    <t>Dynamic Chart</t>
  </si>
  <si>
    <t>Country</t>
  </si>
  <si>
    <t>Jan</t>
  </si>
  <si>
    <t>Feb</t>
  </si>
  <si>
    <t>Mar</t>
  </si>
  <si>
    <t>Apr</t>
  </si>
  <si>
    <t>May</t>
  </si>
  <si>
    <t>United States</t>
  </si>
  <si>
    <t>United Kingdom</t>
  </si>
  <si>
    <t>Canada</t>
  </si>
  <si>
    <t>France</t>
  </si>
  <si>
    <t>Norway</t>
  </si>
  <si>
    <t>Germany</t>
  </si>
  <si>
    <t>OFFICE TASK TRACKER</t>
  </si>
  <si>
    <t>Arrive workplace</t>
  </si>
  <si>
    <t>Review Schedule</t>
  </si>
  <si>
    <t>Scan Communications</t>
  </si>
  <si>
    <t>Define Priorities</t>
  </si>
  <si>
    <t>Open Trackers</t>
  </si>
  <si>
    <t>Execute Projects</t>
  </si>
  <si>
    <t>Batch Emails</t>
  </si>
  <si>
    <t>Attend Check-ins</t>
  </si>
  <si>
    <t>save Files</t>
  </si>
  <si>
    <t>Take Breaks</t>
  </si>
  <si>
    <t>Clear Inbox</t>
  </si>
  <si>
    <t>Log Hours</t>
  </si>
  <si>
    <t>Tidy Workspace</t>
  </si>
  <si>
    <t>Plan Tomorrow</t>
  </si>
  <si>
    <t>Disconnect Actions</t>
  </si>
  <si>
    <t>Base (Helper Value)</t>
  </si>
  <si>
    <t>Progress</t>
  </si>
  <si>
    <t>Gap</t>
  </si>
  <si>
    <t>Top (Helper Value)</t>
  </si>
  <si>
    <t>Checklist</t>
  </si>
  <si>
    <t>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</si>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</sst>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FF66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0066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left"/>
    </xf>
    <xf numFmtId="9" fontId="2" fillId="0" borderId="1" xfId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2" fillId="0" borderId="4" xfId="0" applyFont="1" applyBorder="1"/>
    <xf numFmtId="0" fontId="2" fillId="0" borderId="7" xfId="0" applyFont="1" applyBorder="1"/>
    <xf numFmtId="0" fontId="2" fillId="0" borderId="9" xfId="0" applyFont="1" applyBorder="1"/>
    <xf numFmtId="9" fontId="0" fillId="0" borderId="6" xfId="0" applyNumberFormat="1" applyBorder="1"/>
    <xf numFmtId="9" fontId="0" fillId="0" borderId="11" xfId="0" applyNumberFormat="1" applyBorder="1"/>
    <xf numFmtId="9" fontId="0" fillId="0" borderId="8" xfId="0" applyNumberFormat="1" applyBorder="1"/>
    <xf numFmtId="9" fontId="0" fillId="0" borderId="0" xfId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8" fillId="0" borderId="3" xfId="1" applyFont="1" applyBorder="1" applyAlignment="1">
      <alignment horizontal="center" vertical="center"/>
    </xf>
    <xf numFmtId="9" fontId="8" fillId="0" borderId="8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FF00"/>
      <color rgb="FF0066CC"/>
      <color rgb="FF00339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11409603211364"/>
          <c:y val="6.2499920303484321E-2"/>
          <c:w val="0.69056384128454551"/>
          <c:h val="0.8997133050676358"/>
        </c:manualLayout>
      </c:layout>
      <c:doughnutChart>
        <c:varyColors val="1"/>
        <c:ser>
          <c:idx val="0"/>
          <c:order val="0"/>
          <c:tx>
            <c:strRef>
              <c:f>'Dynamic Chart'!$B$4</c:f>
              <c:strCache>
                <c:ptCount val="1"/>
                <c:pt idx="0">
                  <c:v>Germany</c:v>
                </c:pt>
              </c:strCache>
            </c:strRef>
          </c:tx>
          <c:spPr>
            <a:ln w="63500">
              <a:prstDash val="sysDot"/>
            </a:ln>
          </c:spPr>
          <c:explosion val="5"/>
          <c:dPt>
            <c:idx val="0"/>
            <c:bubble3D val="0"/>
            <c:spPr>
              <a:solidFill>
                <a:schemeClr val="accent1"/>
              </a:solidFill>
              <a:ln w="63500">
                <a:solidFill>
                  <a:schemeClr val="lt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0C-4821-94D0-B30ADB3A3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63500">
                <a:solidFill>
                  <a:schemeClr val="lt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0C-4821-94D0-B30ADB3A3D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63500">
                <a:solidFill>
                  <a:schemeClr val="lt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0C-4821-94D0-B30ADB3A3D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63500">
                <a:solidFill>
                  <a:schemeClr val="lt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0C-4821-94D0-B30ADB3A3D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63500">
                <a:solidFill>
                  <a:schemeClr val="lt1"/>
                </a:solidFill>
                <a:prstDash val="sysDot"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0C-4821-94D0-B30ADB3A3D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'Dynamic Chart'!$C$3:$G$3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'Dynamic Chart'!$C$4:$G$4</c:f>
              <c:numCache>
                <c:formatCode>General</c:formatCode>
                <c:ptCount val="5"/>
                <c:pt idx="0">
                  <c:v>310</c:v>
                </c:pt>
                <c:pt idx="1">
                  <c:v>450</c:v>
                </c:pt>
                <c:pt idx="2">
                  <c:v>231</c:v>
                </c:pt>
                <c:pt idx="3">
                  <c:v>400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9-42E4-8B80-AFD45A1D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'OFFICE TASK TRACKER'!$B$20</c:f>
              <c:strCache>
                <c:ptCount val="1"/>
                <c:pt idx="0">
                  <c:v>Base (Helper Value)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val>
            <c:numRef>
              <c:f>'OFFICE TASK TRACKER'!$C$20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4-4530-8D16-2110C3D99C0C}"/>
            </c:ext>
          </c:extLst>
        </c:ser>
        <c:ser>
          <c:idx val="1"/>
          <c:order val="1"/>
          <c:tx>
            <c:strRef>
              <c:f>'OFFICE TASK TRACKER'!$B$21</c:f>
              <c:strCache>
                <c:ptCount val="1"/>
                <c:pt idx="0">
                  <c:v>Progress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  <a:sp3d/>
          </c:spPr>
          <c:invertIfNegative val="0"/>
          <c:pictureOptions>
            <c:pictureFormat val="stackScale"/>
            <c:pictureStackUnit val="0.1"/>
          </c:pictureOptions>
          <c:val>
            <c:numRef>
              <c:f>'OFFICE TASK TRACKER'!$C$21</c:f>
              <c:numCache>
                <c:formatCode>0%</c:formatCode>
                <c:ptCount val="1"/>
                <c:pt idx="0">
                  <c:v>0.73333333333333328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E4-4530-8D16-2110C3D99C0C}"/>
            </c:ext>
          </c:extLst>
        </c:ser>
        <c:ser>
          <c:idx val="2"/>
          <c:order val="2"/>
          <c:tx>
            <c:strRef>
              <c:f>'OFFICE TASK TRACKER'!$B$22</c:f>
              <c:strCache>
                <c:ptCount val="1"/>
                <c:pt idx="0">
                  <c:v>Gap</c:v>
                </c:pt>
              </c:strCache>
            </c:strRef>
          </c:tx>
          <c:spPr>
            <a:blipFill dpi="0" rotWithShape="1">
              <a:blip xmlns:r="http://schemas.openxmlformats.org/officeDocument/2006/relationships" r:embed="rId3">
                <a:alphaModFix amt="25000"/>
              </a:blip>
              <a:srcRect/>
              <a:stretch>
                <a:fillRect/>
              </a:stretch>
            </a:blipFill>
            <a:ln>
              <a:noFill/>
            </a:ln>
            <a:effectLst/>
            <a:sp3d/>
          </c:spPr>
          <c:invertIfNegative val="0"/>
          <c:pictureOptions>
            <c:pictureFormat val="stackScale"/>
            <c:pictureStackUnit val="0.1"/>
          </c:pictureOptions>
          <c:val>
            <c:numRef>
              <c:f>'OFFICE TASK TRACKER'!$C$22</c:f>
              <c:numCache>
                <c:formatCode>0%</c:formatCode>
                <c:ptCount val="1"/>
                <c:pt idx="0">
                  <c:v>0.26666666666666672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4-4530-8D16-2110C3D99C0C}"/>
            </c:ext>
          </c:extLst>
        </c:ser>
        <c:ser>
          <c:idx val="3"/>
          <c:order val="3"/>
          <c:tx>
            <c:strRef>
              <c:f>'OFFICE TASK TRACKER'!$B$23</c:f>
              <c:strCache>
                <c:ptCount val="1"/>
                <c:pt idx="0">
                  <c:v>Top (Helper Value)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  <a:sp3d/>
          </c:spPr>
          <c:invertIfNegative val="0"/>
          <c:val>
            <c:numRef>
              <c:f>'OFFICE TASK TRACKER'!$C$23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4-4530-8D16-2110C3D99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gapDepth val="0"/>
        <c:shape val="cylinder"/>
        <c:axId val="337817528"/>
        <c:axId val="337819496"/>
        <c:axId val="0"/>
      </c:bar3DChart>
      <c:catAx>
        <c:axId val="3378175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7819496"/>
        <c:crosses val="autoZero"/>
        <c:auto val="1"/>
        <c:lblAlgn val="ctr"/>
        <c:lblOffset val="100"/>
        <c:noMultiLvlLbl val="0"/>
      </c:catAx>
      <c:valAx>
        <c:axId val="3378194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3781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0066CC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28575</xdr:rowOff>
    </xdr:from>
    <xdr:to>
      <xdr:col>7</xdr:col>
      <xdr:colOff>371475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828676</xdr:colOff>
      <xdr:row>8</xdr:row>
      <xdr:rowOff>161925</xdr:rowOff>
    </xdr:from>
    <xdr:to>
      <xdr:col>4</xdr:col>
      <xdr:colOff>219074</xdr:colOff>
      <xdr:row>11</xdr:row>
      <xdr:rowOff>171450</xdr:rowOff>
    </xdr:to>
    <xdr:sp macro="" textlink="$B$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209676" y="1733550"/>
          <a:ext cx="981073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9FE357-D27F-4906-899E-6BAC4D090AEE}" type="TxLink">
            <a:rPr lang="en-US" sz="1100" b="1" i="0" u="none" strike="noStrike">
              <a:solidFill>
                <a:srgbClr val="C00000"/>
              </a:solidFill>
              <a:latin typeface="Calibri"/>
              <a:ea typeface="Calibri"/>
              <a:cs typeface="Calibri"/>
            </a:rPr>
            <a:pPr algn="ctr"/>
            <a:t>Germany</a:t>
          </a:fld>
          <a:endParaRPr lang="en-US" sz="1100" b="1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0.41471</cdr:x>
      <cdr:y>0.43725</cdr:y>
    </cdr:from>
    <cdr:to>
      <cdr:x>0.67059</cdr:x>
      <cdr:y>0.61943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43025" y="1028700"/>
          <a:ext cx="82867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0.43235</cdr:x>
      <cdr:y>0.38866</cdr:y>
    </cdr:from>
    <cdr:to>
      <cdr:x>0.66176</cdr:x>
      <cdr:y>0.59514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00175" y="914400"/>
          <a:ext cx="742950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3</xdr:row>
      <xdr:rowOff>47625</xdr:rowOff>
    </xdr:from>
    <xdr:to>
      <xdr:col>7</xdr:col>
      <xdr:colOff>600073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2"/>
  <sheetViews>
    <sheetView topLeftCell="A2" workbookViewId="0">
      <selection activeCell="L2" sqref="L2"/>
    </sheetView>
  </sheetViews>
  <sheetFormatPr defaultRowHeight="15" x14ac:dyDescent="0.25"/>
  <cols>
    <col min="1" max="1" width="3.140625" customWidth="1"/>
    <col min="2" max="2" width="15" bestFit="1" customWidth="1"/>
    <col min="3" max="4" width="3.7109375" bestFit="1" customWidth="1"/>
    <col min="5" max="5" width="4.28515625" bestFit="1" customWidth="1"/>
    <col min="6" max="6" width="3.7109375" bestFit="1" customWidth="1"/>
    <col min="7" max="7" width="3.7109375" customWidth="1"/>
    <col min="8" max="8" width="6" bestFit="1" customWidth="1"/>
    <col min="9" max="9" width="8.42578125" bestFit="1" customWidth="1"/>
  </cols>
  <sheetData>
    <row r="1" spans="1:9" ht="23.25" x14ac:dyDescent="0.35">
      <c r="A1" s="1"/>
      <c r="B1" s="31" t="s">
        <v>0</v>
      </c>
      <c r="C1" s="32"/>
      <c r="D1" s="32"/>
      <c r="E1" s="32"/>
      <c r="F1" s="32"/>
      <c r="G1" s="32"/>
      <c r="H1" s="32"/>
      <c r="I1" s="32"/>
    </row>
    <row r="2" spans="1:9" ht="54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28</v>
      </c>
      <c r="G2" s="4" t="s">
        <v>5</v>
      </c>
      <c r="H2" s="3" t="s">
        <v>6</v>
      </c>
      <c r="I2" s="3" t="s">
        <v>7</v>
      </c>
    </row>
    <row r="3" spans="1:9" ht="15.6" customHeight="1" x14ac:dyDescent="0.25">
      <c r="B3" s="5" t="s">
        <v>8</v>
      </c>
      <c r="C3" s="6">
        <v>1</v>
      </c>
      <c r="D3" s="6">
        <v>0</v>
      </c>
      <c r="E3" s="6">
        <v>1</v>
      </c>
      <c r="F3" s="6">
        <v>0</v>
      </c>
      <c r="G3" s="6">
        <v>1</v>
      </c>
      <c r="H3" s="8">
        <f>COUNTIF(C3:G3, 0) / 5</f>
        <v>0.4</v>
      </c>
      <c r="I3" s="7">
        <f>COUNTIF(C3:G3, 1) /5</f>
        <v>0.6</v>
      </c>
    </row>
    <row r="4" spans="1:9" ht="15.6" customHeight="1" x14ac:dyDescent="0.25">
      <c r="B4" s="5" t="s">
        <v>9</v>
      </c>
      <c r="C4" s="6">
        <v>1</v>
      </c>
      <c r="D4" s="6">
        <v>1</v>
      </c>
      <c r="E4" s="6">
        <v>1</v>
      </c>
      <c r="F4" s="6">
        <v>1</v>
      </c>
      <c r="G4" s="6">
        <v>0</v>
      </c>
      <c r="H4" s="8">
        <f>COUNTIF(C4:G4, 0) / 5</f>
        <v>0.2</v>
      </c>
      <c r="I4" s="7">
        <f>COUNTIF(C4:G4, 1) / 5</f>
        <v>0.8</v>
      </c>
    </row>
    <row r="5" spans="1:9" ht="15.6" customHeight="1" x14ac:dyDescent="0.25">
      <c r="B5" s="5" t="s">
        <v>10</v>
      </c>
      <c r="C5" s="6">
        <v>1</v>
      </c>
      <c r="D5" s="6">
        <v>1</v>
      </c>
      <c r="E5" s="6">
        <v>1</v>
      </c>
      <c r="F5" s="6">
        <v>0</v>
      </c>
      <c r="G5" s="6">
        <v>1</v>
      </c>
      <c r="H5" s="8">
        <f>COUNTIF(C5:G5, 0)/5</f>
        <v>0.2</v>
      </c>
      <c r="I5" s="7">
        <f>COUNTIF(C5:G5, 1)/5</f>
        <v>0.8</v>
      </c>
    </row>
    <row r="6" spans="1:9" ht="15.6" customHeight="1" x14ac:dyDescent="0.25">
      <c r="B6" s="5" t="s">
        <v>11</v>
      </c>
      <c r="C6" s="6">
        <v>0</v>
      </c>
      <c r="D6" s="6">
        <v>0</v>
      </c>
      <c r="E6" s="6">
        <v>1</v>
      </c>
      <c r="F6" s="6">
        <v>0</v>
      </c>
      <c r="G6" s="6">
        <v>1</v>
      </c>
      <c r="H6" s="8">
        <f t="shared" ref="H6:H22" si="0">1-I6</f>
        <v>0.6</v>
      </c>
      <c r="I6" s="7">
        <f t="shared" ref="I6:I22" si="1">COUNTIF(C6:G6,1)/5</f>
        <v>0.4</v>
      </c>
    </row>
    <row r="7" spans="1:9" ht="15.6" customHeight="1" x14ac:dyDescent="0.25">
      <c r="B7" s="5" t="s">
        <v>12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8">
        <f t="shared" si="0"/>
        <v>0</v>
      </c>
      <c r="I7" s="7">
        <f t="shared" si="1"/>
        <v>1</v>
      </c>
    </row>
    <row r="8" spans="1:9" ht="15.6" customHeight="1" x14ac:dyDescent="0.25">
      <c r="B8" s="5" t="s">
        <v>13</v>
      </c>
      <c r="C8" s="6">
        <v>0</v>
      </c>
      <c r="D8" s="6">
        <v>0</v>
      </c>
      <c r="E8" s="6">
        <v>1</v>
      </c>
      <c r="F8" s="6">
        <v>1</v>
      </c>
      <c r="G8" s="6">
        <v>1</v>
      </c>
      <c r="H8" s="8">
        <f t="shared" si="0"/>
        <v>0.4</v>
      </c>
      <c r="I8" s="7">
        <f t="shared" si="1"/>
        <v>0.6</v>
      </c>
    </row>
    <row r="9" spans="1:9" ht="15.6" customHeight="1" x14ac:dyDescent="0.25">
      <c r="B9" s="5" t="s">
        <v>14</v>
      </c>
      <c r="C9" s="6">
        <v>0</v>
      </c>
      <c r="D9" s="6">
        <v>1</v>
      </c>
      <c r="E9" s="6">
        <v>1</v>
      </c>
      <c r="F9" s="6">
        <v>1</v>
      </c>
      <c r="G9" s="6">
        <v>1</v>
      </c>
      <c r="H9" s="8">
        <f t="shared" si="0"/>
        <v>0.19999999999999996</v>
      </c>
      <c r="I9" s="7">
        <f t="shared" si="1"/>
        <v>0.8</v>
      </c>
    </row>
    <row r="10" spans="1:9" ht="15.6" customHeight="1" x14ac:dyDescent="0.25">
      <c r="B10" s="5" t="s">
        <v>15</v>
      </c>
      <c r="C10" s="6">
        <v>0</v>
      </c>
      <c r="D10" s="6">
        <v>0</v>
      </c>
      <c r="E10" s="6">
        <v>1</v>
      </c>
      <c r="F10" s="6">
        <v>1</v>
      </c>
      <c r="G10" s="6">
        <v>1</v>
      </c>
      <c r="H10" s="8">
        <f t="shared" si="0"/>
        <v>0.4</v>
      </c>
      <c r="I10" s="7">
        <f t="shared" si="1"/>
        <v>0.6</v>
      </c>
    </row>
    <row r="11" spans="1:9" ht="15.6" customHeight="1" x14ac:dyDescent="0.25">
      <c r="B11" s="5" t="s">
        <v>16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8">
        <f t="shared" si="0"/>
        <v>0</v>
      </c>
      <c r="I11" s="7">
        <f t="shared" si="1"/>
        <v>1</v>
      </c>
    </row>
    <row r="12" spans="1:9" ht="15.6" customHeight="1" x14ac:dyDescent="0.25">
      <c r="B12" s="5" t="s">
        <v>17</v>
      </c>
      <c r="C12" s="6">
        <v>1</v>
      </c>
      <c r="D12" s="6">
        <v>0</v>
      </c>
      <c r="E12" s="6">
        <v>1</v>
      </c>
      <c r="F12" s="6">
        <v>1</v>
      </c>
      <c r="G12" s="6">
        <v>1</v>
      </c>
      <c r="H12" s="8">
        <f t="shared" si="0"/>
        <v>0.19999999999999996</v>
      </c>
      <c r="I12" s="7">
        <f t="shared" si="1"/>
        <v>0.8</v>
      </c>
    </row>
    <row r="13" spans="1:9" ht="15.6" customHeight="1" x14ac:dyDescent="0.25">
      <c r="B13" s="5" t="s">
        <v>18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8">
        <f t="shared" si="0"/>
        <v>0</v>
      </c>
      <c r="I13" s="7">
        <f t="shared" si="1"/>
        <v>1</v>
      </c>
    </row>
    <row r="14" spans="1:9" ht="15.6" customHeight="1" x14ac:dyDescent="0.25">
      <c r="B14" s="5" t="s">
        <v>19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8">
        <f t="shared" si="0"/>
        <v>0</v>
      </c>
      <c r="I14" s="7">
        <f t="shared" si="1"/>
        <v>1</v>
      </c>
    </row>
    <row r="15" spans="1:9" ht="15.6" customHeight="1" x14ac:dyDescent="0.25">
      <c r="B15" s="5" t="s">
        <v>20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8">
        <f t="shared" si="0"/>
        <v>0</v>
      </c>
      <c r="I15" s="7">
        <f t="shared" si="1"/>
        <v>1</v>
      </c>
    </row>
    <row r="16" spans="1:9" ht="15.6" customHeight="1" x14ac:dyDescent="0.25">
      <c r="B16" s="5" t="s">
        <v>21</v>
      </c>
      <c r="C16" s="6">
        <v>1</v>
      </c>
      <c r="D16" s="6">
        <v>0</v>
      </c>
      <c r="E16" s="6">
        <v>1</v>
      </c>
      <c r="F16" s="6">
        <v>1</v>
      </c>
      <c r="G16" s="6">
        <v>1</v>
      </c>
      <c r="H16" s="8">
        <f t="shared" si="0"/>
        <v>0.19999999999999996</v>
      </c>
      <c r="I16" s="7">
        <f t="shared" si="1"/>
        <v>0.8</v>
      </c>
    </row>
    <row r="17" spans="2:9" ht="15.6" customHeight="1" x14ac:dyDescent="0.25">
      <c r="B17" s="5" t="s">
        <v>22</v>
      </c>
      <c r="C17" s="6">
        <v>1</v>
      </c>
      <c r="D17" s="6">
        <v>0</v>
      </c>
      <c r="E17" s="6">
        <v>1</v>
      </c>
      <c r="F17" s="6">
        <v>1</v>
      </c>
      <c r="G17" s="6">
        <v>1</v>
      </c>
      <c r="H17" s="8">
        <f t="shared" si="0"/>
        <v>0.19999999999999996</v>
      </c>
      <c r="I17" s="7">
        <f t="shared" si="1"/>
        <v>0.8</v>
      </c>
    </row>
    <row r="18" spans="2:9" ht="15.6" customHeight="1" x14ac:dyDescent="0.25">
      <c r="B18" s="5" t="s">
        <v>23</v>
      </c>
      <c r="C18" s="6">
        <v>0</v>
      </c>
      <c r="D18" s="6">
        <v>0</v>
      </c>
      <c r="E18" s="6">
        <v>1</v>
      </c>
      <c r="F18" s="6">
        <v>1</v>
      </c>
      <c r="G18" s="6">
        <v>1</v>
      </c>
      <c r="H18" s="8">
        <f t="shared" si="0"/>
        <v>0.4</v>
      </c>
      <c r="I18" s="7">
        <f t="shared" si="1"/>
        <v>0.6</v>
      </c>
    </row>
    <row r="19" spans="2:9" ht="15.6" customHeight="1" x14ac:dyDescent="0.25">
      <c r="B19" s="5" t="s">
        <v>24</v>
      </c>
      <c r="C19" s="6">
        <v>1</v>
      </c>
      <c r="D19" s="6">
        <v>1</v>
      </c>
      <c r="E19" s="6">
        <v>1</v>
      </c>
      <c r="F19" s="6">
        <v>0</v>
      </c>
      <c r="G19" s="6">
        <v>1</v>
      </c>
      <c r="H19" s="8">
        <f t="shared" si="0"/>
        <v>0.19999999999999996</v>
      </c>
      <c r="I19" s="7">
        <f t="shared" si="1"/>
        <v>0.8</v>
      </c>
    </row>
    <row r="20" spans="2:9" ht="15.6" customHeight="1" x14ac:dyDescent="0.25">
      <c r="B20" s="5" t="s">
        <v>25</v>
      </c>
      <c r="C20" s="6">
        <v>0</v>
      </c>
      <c r="D20" s="6">
        <v>1</v>
      </c>
      <c r="E20" s="6">
        <v>1</v>
      </c>
      <c r="F20" s="6">
        <v>0</v>
      </c>
      <c r="G20" s="6">
        <v>1</v>
      </c>
      <c r="H20" s="8">
        <f t="shared" si="0"/>
        <v>0.4</v>
      </c>
      <c r="I20" s="7">
        <f t="shared" si="1"/>
        <v>0.6</v>
      </c>
    </row>
    <row r="21" spans="2:9" ht="15.6" customHeight="1" x14ac:dyDescent="0.25">
      <c r="B21" s="5" t="s">
        <v>26</v>
      </c>
      <c r="C21" s="6">
        <v>1</v>
      </c>
      <c r="D21" s="6">
        <v>1</v>
      </c>
      <c r="E21" s="6">
        <v>1</v>
      </c>
      <c r="F21" s="6">
        <v>0</v>
      </c>
      <c r="G21" s="6">
        <v>1</v>
      </c>
      <c r="H21" s="8">
        <f t="shared" si="0"/>
        <v>0.19999999999999996</v>
      </c>
      <c r="I21" s="7">
        <f t="shared" si="1"/>
        <v>0.8</v>
      </c>
    </row>
    <row r="22" spans="2:9" ht="15.6" customHeight="1" x14ac:dyDescent="0.25">
      <c r="B22" s="5" t="s">
        <v>27</v>
      </c>
      <c r="C22" s="6">
        <v>0</v>
      </c>
      <c r="D22" s="6">
        <v>1</v>
      </c>
      <c r="E22" s="6">
        <v>1</v>
      </c>
      <c r="F22" s="6">
        <v>0</v>
      </c>
      <c r="G22" s="6">
        <v>1</v>
      </c>
      <c r="H22" s="8">
        <f t="shared" si="0"/>
        <v>0.4</v>
      </c>
      <c r="I22" s="7">
        <f t="shared" si="1"/>
        <v>0.6</v>
      </c>
    </row>
  </sheetData>
  <mergeCells count="1">
    <mergeCell ref="B1:I1"/>
  </mergeCells>
  <conditionalFormatting sqref="E5">
    <cfRule type="iconSet" priority="2">
      <iconSet>
        <cfvo type="percent" val="0"/>
        <cfvo type="percent" val="33"/>
        <cfvo type="percent" val="67"/>
      </iconSet>
    </cfRule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H3:H22">
    <cfRule type="dataBar" priority="7">
      <dataBar>
        <cfvo type="formula" val="0"/>
        <cfvo type="formula" val="1"/>
        <color rgb="FFFF6600"/>
      </dataBar>
      <extLst>
        <ext xmlns:x14="http://schemas.microsoft.com/office/spreadsheetml/2009/9/main" uri="{B025F937-C7B1-47D3-B67F-A62EFF666E3E}">
          <x14:id>{80FF8546-1B2F-4AC8-B231-52A381CC4474}</x14:id>
        </ext>
      </extLst>
    </cfRule>
  </conditionalFormatting>
  <conditionalFormatting sqref="I3:I22">
    <cfRule type="dataBar" priority="4">
      <dataBar>
        <cfvo type="formula" val="0"/>
        <cfvo type="formula" val="1"/>
        <color rgb="FF0066CC"/>
      </dataBar>
      <extLst>
        <ext xmlns:x14="http://schemas.microsoft.com/office/spreadsheetml/2009/9/main" uri="{B025F937-C7B1-47D3-B67F-A62EFF666E3E}">
          <x14:id>{02C31159-1948-4EA1-B114-EFEFC9E9497A}</x14:id>
        </ext>
      </extLst>
    </cfRule>
    <cfRule type="dataBar" priority="5">
      <dataBar>
        <cfvo type="formula" val="0"/>
        <cfvo type="formula" val="1"/>
        <color rgb="FF003399"/>
      </dataBar>
      <extLst>
        <ext xmlns:x14="http://schemas.microsoft.com/office/spreadsheetml/2009/9/main" uri="{B025F937-C7B1-47D3-B67F-A62EFF666E3E}">
          <x14:id>{6E65064E-A81D-44A4-AE74-0A02C555F4B6}</x14:id>
        </ext>
      </extLst>
    </cfRule>
    <cfRule type="dataBar" priority="6">
      <dataBar>
        <cfvo type="formula" val="0"/>
        <cfvo type="formula" val="1"/>
        <color rgb="FF000099"/>
      </dataBar>
      <extLst>
        <ext xmlns:x14="http://schemas.microsoft.com/office/spreadsheetml/2009/9/main" uri="{B025F937-C7B1-47D3-B67F-A62EFF666E3E}">
          <x14:id>{55242E54-514B-4D61-89C0-36F72A766BED}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BDF9BF5-E334-416E-BB3B-4C0B8DB0F3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14:cfRule type="iconSet" priority="8" id="{E0242887-0A36-4099-B6E0-F2B54C0ED4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14:cfRule type="iconSet" priority="9" id="{3B1FCCDA-3A29-420C-A9EB-FC651DB5C9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C3:G22</xm:sqref>
        </x14:conditionalFormatting>
        <x14:conditionalFormatting xmlns:xm="http://schemas.microsoft.com/office/excel/2006/main">
          <x14:cfRule type="dataBar" id="{80FF8546-1B2F-4AC8-B231-52A381CC4474}">
            <x14:dataBar minLength="0" maxLength="100" gradient="0" direction="rightToLef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H3:H22</xm:sqref>
        </x14:conditionalFormatting>
        <x14:conditionalFormatting xmlns:xm="http://schemas.microsoft.com/office/excel/2006/main">
          <x14:cfRule type="dataBar" id="{02C31159-1948-4EA1-B114-EFEFC9E9497A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6E65064E-A81D-44A4-AE74-0A02C555F4B6}">
            <x14:dataBar minLength="0" maxLength="100" gradient="0" direction="leftToRight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14:cfRule type="dataBar" id="{55242E54-514B-4D61-89C0-36F72A766BED}">
            <x14:dataBar minLength="0" maxLength="100" gradient="0">
              <x14:cfvo type="formula">
                <xm:f>0</xm:f>
              </x14:cfvo>
              <x14:cfvo type="formula">
                <xm:f>1</xm:f>
              </x14:cfvo>
              <x14:negativeFillColor rgb="FFFF0000"/>
              <x14:axisColor rgb="FF000000"/>
            </x14:dataBar>
          </x14:cfRule>
          <xm:sqref>I3:I22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24"/>
  <sheetViews>
    <sheetView tabSelected="1" topLeftCell="A4" workbookViewId="0">
      <selection activeCell="B4" sqref="B4"/>
    </sheetView>
  </sheetViews>
  <sheetFormatPr defaultRowHeight="15" x14ac:dyDescent="0.25"/>
  <cols>
    <col min="1" max="1" width="5.7109375" customWidth="1"/>
    <col min="2" max="2" width="15.5703125" bestFit="1" customWidth="1"/>
    <col min="3" max="3" width="4" bestFit="1" customWidth="1"/>
    <col min="4" max="4" width="4.28515625" bestFit="1" customWidth="1"/>
    <col min="5" max="5" width="4.5703125" bestFit="1" customWidth="1"/>
    <col min="6" max="6" width="4.140625" bestFit="1" customWidth="1"/>
    <col min="7" max="7" width="4.85546875" bestFit="1" customWidth="1"/>
  </cols>
  <sheetData>
    <row r="1" spans="1:7" ht="18.75" x14ac:dyDescent="0.3">
      <c r="A1" s="33" t="s">
        <v>29</v>
      </c>
      <c r="B1" s="33"/>
      <c r="C1" s="33"/>
      <c r="D1" s="33"/>
      <c r="E1" s="33"/>
      <c r="F1" s="33"/>
      <c r="G1" s="33"/>
    </row>
    <row r="3" spans="1:7" x14ac:dyDescent="0.25">
      <c r="B3" s="10" t="s">
        <v>30</v>
      </c>
      <c r="C3" s="10" t="s">
        <v>31</v>
      </c>
      <c r="D3" s="10" t="s">
        <v>32</v>
      </c>
      <c r="E3" s="10" t="s">
        <v>33</v>
      </c>
      <c r="F3" s="10" t="s">
        <v>34</v>
      </c>
      <c r="G3" s="10" t="s">
        <v>35</v>
      </c>
    </row>
    <row r="4" spans="1:7" x14ac:dyDescent="0.25">
      <c r="B4" t="s">
        <v>41</v>
      </c>
      <c r="C4" s="11">
        <f>VLOOKUP($B$4, $B$19:$G$24, 2, FALSE)</f>
        <v>310</v>
      </c>
      <c r="D4" s="11">
        <f>VLOOKUP($B$4, $B$19:$G$24, 3, FALSE)</f>
        <v>450</v>
      </c>
      <c r="E4" s="11">
        <f>VLOOKUP($B$4, $B$19:$G$24, 4, FALSE)</f>
        <v>231</v>
      </c>
      <c r="F4" s="11">
        <f>VLOOKUP($B$4, $B$19:$G$24, 5, FALSE)</f>
        <v>400</v>
      </c>
      <c r="G4" s="11">
        <f>VLOOKUP($B$4, $B$19:$G$24, 6, FALSE)</f>
        <v>195</v>
      </c>
    </row>
    <row r="5" spans="1:7" x14ac:dyDescent="0.25">
      <c r="C5" s="11"/>
      <c r="D5" s="11"/>
      <c r="E5" s="11"/>
      <c r="F5" s="11"/>
      <c r="G5" s="11"/>
    </row>
    <row r="6" spans="1:7" x14ac:dyDescent="0.25">
      <c r="C6" s="11"/>
      <c r="D6" s="11"/>
      <c r="E6" s="11"/>
      <c r="F6" s="11"/>
      <c r="G6" s="11"/>
    </row>
    <row r="7" spans="1:7" x14ac:dyDescent="0.25">
      <c r="C7" s="11"/>
      <c r="D7" s="11"/>
      <c r="E7" s="11"/>
      <c r="F7" s="11"/>
      <c r="G7" s="11"/>
    </row>
    <row r="8" spans="1:7" x14ac:dyDescent="0.25">
      <c r="C8" s="11"/>
      <c r="D8" s="11"/>
      <c r="E8" s="11"/>
      <c r="F8" s="11"/>
      <c r="G8" s="11"/>
    </row>
    <row r="18" spans="2:7" x14ac:dyDescent="0.25">
      <c r="B18" s="10" t="s">
        <v>30</v>
      </c>
      <c r="C18" s="10" t="s">
        <v>31</v>
      </c>
      <c r="D18" s="10" t="s">
        <v>32</v>
      </c>
      <c r="E18" s="10" t="s">
        <v>33</v>
      </c>
      <c r="F18" s="10" t="s">
        <v>34</v>
      </c>
      <c r="G18" s="10" t="s">
        <v>35</v>
      </c>
    </row>
    <row r="19" spans="2:7" x14ac:dyDescent="0.25">
      <c r="B19" s="9" t="s">
        <v>36</v>
      </c>
      <c r="C19" s="2">
        <v>204</v>
      </c>
      <c r="D19" s="2">
        <v>346</v>
      </c>
      <c r="E19" s="2">
        <v>196</v>
      </c>
      <c r="F19" s="2">
        <v>422</v>
      </c>
      <c r="G19" s="2">
        <v>446</v>
      </c>
    </row>
    <row r="20" spans="2:7" x14ac:dyDescent="0.25">
      <c r="B20" s="9" t="s">
        <v>37</v>
      </c>
      <c r="C20" s="2">
        <v>340</v>
      </c>
      <c r="D20" s="2">
        <v>358</v>
      </c>
      <c r="E20" s="2">
        <v>431</v>
      </c>
      <c r="F20" s="2">
        <v>356</v>
      </c>
      <c r="G20" s="2">
        <v>333</v>
      </c>
    </row>
    <row r="21" spans="2:7" x14ac:dyDescent="0.25">
      <c r="B21" s="9" t="s">
        <v>38</v>
      </c>
      <c r="C21" s="2">
        <v>497</v>
      </c>
      <c r="D21" s="2">
        <v>213</v>
      </c>
      <c r="E21" s="2">
        <v>460</v>
      </c>
      <c r="F21" s="2">
        <v>279</v>
      </c>
      <c r="G21" s="2">
        <v>416</v>
      </c>
    </row>
    <row r="22" spans="2:7" x14ac:dyDescent="0.25">
      <c r="B22" s="9" t="s">
        <v>39</v>
      </c>
      <c r="C22" s="2">
        <v>484</v>
      </c>
      <c r="D22" s="2">
        <v>395</v>
      </c>
      <c r="E22" s="2">
        <v>311</v>
      </c>
      <c r="F22" s="2">
        <v>488</v>
      </c>
      <c r="G22" s="2">
        <v>396</v>
      </c>
    </row>
    <row r="23" spans="2:7" x14ac:dyDescent="0.25">
      <c r="B23" s="9" t="s">
        <v>40</v>
      </c>
      <c r="C23" s="2">
        <v>366</v>
      </c>
      <c r="D23" s="2">
        <v>196</v>
      </c>
      <c r="E23" s="2">
        <v>303</v>
      </c>
      <c r="F23" s="2">
        <v>462</v>
      </c>
      <c r="G23" s="2">
        <v>336</v>
      </c>
    </row>
    <row r="24" spans="2:7" x14ac:dyDescent="0.25">
      <c r="B24" s="9" t="s">
        <v>41</v>
      </c>
      <c r="C24" s="2">
        <v>310</v>
      </c>
      <c r="D24" s="2">
        <v>450</v>
      </c>
      <c r="E24" s="2">
        <v>231</v>
      </c>
      <c r="F24" s="2">
        <v>400</v>
      </c>
      <c r="G24" s="2">
        <v>195</v>
      </c>
    </row>
  </sheetData>
  <mergeCells count="1">
    <mergeCell ref="A1:G1"/>
  </mergeCells>
  <dataValidations count="1">
    <dataValidation type="list" allowBlank="1" showInputMessage="1" showErrorMessage="1" sqref="B4" xr:uid="{00000000-0002-0000-0100-000000000000}">
      <formula1>$B$19:$B$24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M23"/>
  <sheetViews>
    <sheetView workbookViewId="0">
      <selection activeCell="P12" sqref="P12"/>
    </sheetView>
  </sheetViews>
  <sheetFormatPr defaultRowHeight="15" x14ac:dyDescent="0.25"/>
  <cols>
    <col min="1" max="1" width="2.28515625" customWidth="1"/>
    <col min="2" max="2" width="20.5703125" bestFit="1" customWidth="1"/>
    <col min="3" max="3" width="8.42578125" bestFit="1" customWidth="1"/>
    <col min="4" max="4" width="2" bestFit="1" customWidth="1"/>
    <col min="10" max="10" width="5.85546875" bestFit="1" customWidth="1"/>
    <col min="11" max="11" width="1.85546875" bestFit="1" customWidth="1"/>
    <col min="12" max="13" width="4.5703125" bestFit="1" customWidth="1"/>
  </cols>
  <sheetData>
    <row r="1" spans="2:13" ht="24" thickBot="1" x14ac:dyDescent="0.4">
      <c r="B1" s="31" t="s">
        <v>42</v>
      </c>
      <c r="C1" s="31"/>
      <c r="D1" s="31"/>
      <c r="E1" s="31"/>
      <c r="F1" s="31"/>
      <c r="G1" s="31"/>
      <c r="H1" s="31"/>
    </row>
    <row r="2" spans="2:13" ht="23.25" x14ac:dyDescent="0.35">
      <c r="B2" s="43" t="s">
        <v>62</v>
      </c>
      <c r="C2" s="19" t="s">
        <v>63</v>
      </c>
      <c r="D2" s="45" t="s">
        <v>59</v>
      </c>
      <c r="E2" s="46"/>
      <c r="F2" s="46"/>
      <c r="G2" s="46"/>
      <c r="H2" s="47"/>
    </row>
    <row r="3" spans="2:13" ht="23.25" x14ac:dyDescent="0.35">
      <c r="B3" s="44"/>
      <c r="C3" s="17" t="str">
        <f>COUNTIF(C4:C18,1)&amp;"/"&amp;COUNTA(B4:B18)</f>
        <v>11/15</v>
      </c>
      <c r="D3" s="18" t="s">
        <v>64</v>
      </c>
      <c r="E3" s="48">
        <f>COUNTIF(C4:C18,1)/COUNTA(B4:B18)</f>
        <v>0.73333333333333328</v>
      </c>
      <c r="F3" s="48"/>
      <c r="G3" s="48">
        <f>1-E3</f>
        <v>0.26666666666666672</v>
      </c>
      <c r="H3" s="49"/>
      <c r="L3" s="30"/>
      <c r="M3" s="30"/>
    </row>
    <row r="4" spans="2:13" x14ac:dyDescent="0.25">
      <c r="B4" s="20" t="s">
        <v>43</v>
      </c>
      <c r="C4" s="15">
        <v>1</v>
      </c>
      <c r="D4" s="14"/>
      <c r="E4" s="34"/>
      <c r="F4" s="35"/>
      <c r="G4" s="35"/>
      <c r="H4" s="36"/>
    </row>
    <row r="5" spans="2:13" x14ac:dyDescent="0.25">
      <c r="B5" s="20" t="s">
        <v>44</v>
      </c>
      <c r="C5" s="16">
        <v>1</v>
      </c>
      <c r="D5" s="14"/>
      <c r="E5" s="37"/>
      <c r="F5" s="38"/>
      <c r="G5" s="38"/>
      <c r="H5" s="39"/>
    </row>
    <row r="6" spans="2:13" x14ac:dyDescent="0.25">
      <c r="B6" s="20" t="s">
        <v>45</v>
      </c>
      <c r="C6" s="16">
        <v>1</v>
      </c>
      <c r="D6" s="14"/>
      <c r="E6" s="37"/>
      <c r="F6" s="38"/>
      <c r="G6" s="38"/>
      <c r="H6" s="39"/>
    </row>
    <row r="7" spans="2:13" x14ac:dyDescent="0.25">
      <c r="B7" s="20" t="s">
        <v>46</v>
      </c>
      <c r="C7" s="16">
        <v>0</v>
      </c>
      <c r="D7" s="14"/>
      <c r="E7" s="37"/>
      <c r="F7" s="38"/>
      <c r="G7" s="38"/>
      <c r="H7" s="39"/>
    </row>
    <row r="8" spans="2:13" x14ac:dyDescent="0.25">
      <c r="B8" s="20" t="s">
        <v>47</v>
      </c>
      <c r="C8" s="16">
        <v>1</v>
      </c>
      <c r="D8" s="14"/>
      <c r="E8" s="37"/>
      <c r="F8" s="38"/>
      <c r="G8" s="38"/>
      <c r="H8" s="39"/>
    </row>
    <row r="9" spans="2:13" x14ac:dyDescent="0.25">
      <c r="B9" s="20" t="s">
        <v>48</v>
      </c>
      <c r="C9" s="16">
        <v>1</v>
      </c>
      <c r="D9" s="14"/>
      <c r="E9" s="37"/>
      <c r="F9" s="38"/>
      <c r="G9" s="38"/>
      <c r="H9" s="39"/>
    </row>
    <row r="10" spans="2:13" x14ac:dyDescent="0.25">
      <c r="B10" s="20" t="s">
        <v>49</v>
      </c>
      <c r="C10" s="16">
        <v>1</v>
      </c>
      <c r="D10" s="14"/>
      <c r="E10" s="37"/>
      <c r="F10" s="38"/>
      <c r="G10" s="38"/>
      <c r="H10" s="39"/>
    </row>
    <row r="11" spans="2:13" x14ac:dyDescent="0.25">
      <c r="B11" s="20" t="s">
        <v>50</v>
      </c>
      <c r="C11" s="16">
        <v>0</v>
      </c>
      <c r="D11" s="14"/>
      <c r="E11" s="37"/>
      <c r="F11" s="38"/>
      <c r="G11" s="38"/>
      <c r="H11" s="39"/>
    </row>
    <row r="12" spans="2:13" x14ac:dyDescent="0.25">
      <c r="B12" s="20" t="s">
        <v>51</v>
      </c>
      <c r="C12" s="16">
        <v>1</v>
      </c>
      <c r="D12" s="14"/>
      <c r="E12" s="37"/>
      <c r="F12" s="38"/>
      <c r="G12" s="38"/>
      <c r="H12" s="39"/>
    </row>
    <row r="13" spans="2:13" x14ac:dyDescent="0.25">
      <c r="B13" s="20" t="s">
        <v>52</v>
      </c>
      <c r="C13" s="16">
        <v>1</v>
      </c>
      <c r="D13" s="14"/>
      <c r="E13" s="37"/>
      <c r="F13" s="38"/>
      <c r="G13" s="38"/>
      <c r="H13" s="39"/>
    </row>
    <row r="14" spans="2:13" x14ac:dyDescent="0.25">
      <c r="B14" s="20" t="s">
        <v>53</v>
      </c>
      <c r="C14" s="16">
        <v>0</v>
      </c>
      <c r="D14" s="14"/>
      <c r="E14" s="37"/>
      <c r="F14" s="38"/>
      <c r="G14" s="38"/>
      <c r="H14" s="39"/>
    </row>
    <row r="15" spans="2:13" x14ac:dyDescent="0.25">
      <c r="B15" s="20" t="s">
        <v>54</v>
      </c>
      <c r="C15" s="16">
        <v>1</v>
      </c>
      <c r="D15" s="14"/>
      <c r="E15" s="37"/>
      <c r="F15" s="38"/>
      <c r="G15" s="38"/>
      <c r="H15" s="39"/>
    </row>
    <row r="16" spans="2:13" x14ac:dyDescent="0.25">
      <c r="B16" s="20" t="s">
        <v>55</v>
      </c>
      <c r="C16" s="16">
        <v>1</v>
      </c>
      <c r="D16" s="14"/>
      <c r="E16" s="37"/>
      <c r="F16" s="38"/>
      <c r="G16" s="38"/>
      <c r="H16" s="39"/>
    </row>
    <row r="17" spans="2:8" x14ac:dyDescent="0.25">
      <c r="B17" s="20" t="s">
        <v>56</v>
      </c>
      <c r="C17" s="16">
        <v>1</v>
      </c>
      <c r="D17" s="14"/>
      <c r="E17" s="37"/>
      <c r="F17" s="38"/>
      <c r="G17" s="38"/>
      <c r="H17" s="39"/>
    </row>
    <row r="18" spans="2:8" ht="15.75" thickBot="1" x14ac:dyDescent="0.3">
      <c r="B18" s="21" t="s">
        <v>57</v>
      </c>
      <c r="C18" s="22">
        <v>0</v>
      </c>
      <c r="D18" s="23"/>
      <c r="E18" s="40"/>
      <c r="F18" s="41"/>
      <c r="G18" s="41"/>
      <c r="H18" s="42"/>
    </row>
    <row r="19" spans="2:8" ht="15.75" thickBot="1" x14ac:dyDescent="0.3">
      <c r="B19" s="12"/>
      <c r="C19" s="12"/>
      <c r="D19" s="12"/>
      <c r="E19" s="12"/>
      <c r="F19" s="12"/>
      <c r="G19" s="12"/>
      <c r="H19" s="12"/>
    </row>
    <row r="20" spans="2:8" x14ac:dyDescent="0.25">
      <c r="B20" s="24" t="s">
        <v>58</v>
      </c>
      <c r="C20" s="27">
        <v>0.1</v>
      </c>
      <c r="D20" s="12"/>
      <c r="E20" s="12"/>
      <c r="F20" s="12"/>
      <c r="G20" s="12"/>
      <c r="H20" s="12"/>
    </row>
    <row r="21" spans="2:8" x14ac:dyDescent="0.25">
      <c r="B21" s="25" t="s">
        <v>59</v>
      </c>
      <c r="C21" s="29">
        <f>E3</f>
        <v>0.73333333333333328</v>
      </c>
      <c r="D21" s="12"/>
      <c r="E21" s="12"/>
      <c r="F21" s="12"/>
      <c r="G21" s="12"/>
      <c r="H21" s="12"/>
    </row>
    <row r="22" spans="2:8" x14ac:dyDescent="0.25">
      <c r="B22" s="25" t="s">
        <v>60</v>
      </c>
      <c r="C22" s="29">
        <f>G3</f>
        <v>0.26666666666666672</v>
      </c>
      <c r="D22" s="12"/>
      <c r="E22" s="12"/>
      <c r="F22" s="12"/>
      <c r="G22" s="12"/>
      <c r="H22" s="12"/>
    </row>
    <row r="23" spans="2:8" ht="15.75" thickBot="1" x14ac:dyDescent="0.3">
      <c r="B23" s="26" t="s">
        <v>61</v>
      </c>
      <c r="C23" s="28">
        <v>0.1</v>
      </c>
      <c r="D23" s="13"/>
      <c r="E23" s="13"/>
      <c r="F23" s="13"/>
      <c r="G23" s="13"/>
      <c r="H23" s="13"/>
    </row>
  </sheetData>
  <mergeCells count="6">
    <mergeCell ref="E4:H18"/>
    <mergeCell ref="B1:H1"/>
    <mergeCell ref="B2:B3"/>
    <mergeCell ref="D2:H2"/>
    <mergeCell ref="E3:F3"/>
    <mergeCell ref="G3:H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DDB6D00-8BF7-4C3C-BBED-625A40BB7A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C4:C18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DynamicProjectTracker</vt:lpstr>
      <vt:lpstr>Dynamic Chart</vt:lpstr>
      <vt:lpstr>OFFICE TASK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2026-10-26T12:51:48Z</dcterms:modified>
</cp:coreProperties>
</file>